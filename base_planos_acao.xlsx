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ASE_BRUTA" sheetId="1" r:id="rId5"/>
    <sheet state="visible" name="TRATAMENTO" sheetId="2" r:id="rId6"/>
  </sheets>
  <definedNames/>
  <calcPr/>
</workbook>
</file>

<file path=xl/sharedStrings.xml><?xml version="1.0" encoding="utf-8"?>
<sst xmlns="http://schemas.openxmlformats.org/spreadsheetml/2006/main" count="191" uniqueCount="66">
  <si>
    <t>UNIDADE</t>
  </si>
  <si>
    <t>CATEGORIA</t>
  </si>
  <si>
    <t>ATIVIDADE</t>
  </si>
  <si>
    <t>RESPONSÁVEL</t>
  </si>
  <si>
    <t>ENVOLVIDOS</t>
  </si>
  <si>
    <t>INÍCIO</t>
  </si>
  <si>
    <t>PRAZO</t>
  </si>
  <si>
    <t>STATUS</t>
  </si>
  <si>
    <t>PRIORIDADE</t>
  </si>
  <si>
    <t>% AVANÇO</t>
  </si>
  <si>
    <t>ÚLTIMA ATUALIZAÇÃO</t>
  </si>
  <si>
    <t>DIAS PARA PRAZO</t>
  </si>
  <si>
    <t>DIAS EM ATRASO</t>
  </si>
  <si>
    <t>SITUAÇÃO PRAZO</t>
  </si>
  <si>
    <t>MÊS DO PRAZO</t>
  </si>
  <si>
    <t>DIAS SEM ATUALIZAÇÃO</t>
  </si>
  <si>
    <t>ALERTA ATUALIZAÇÃO</t>
  </si>
  <si>
    <t>Tokyo</t>
  </si>
  <si>
    <t>Todas Unidades</t>
  </si>
  <si>
    <t>Pessoas</t>
  </si>
  <si>
    <t>Criação de Política de Programação de Férias</t>
  </si>
  <si>
    <t>Indira Curty</t>
  </si>
  <si>
    <t>Alberto Linhares
Gerson Rios</t>
  </si>
  <si>
    <t>EM ANDAMENTO</t>
  </si>
  <si>
    <t>ALTA</t>
  </si>
  <si>
    <t>Barra do Corda</t>
  </si>
  <si>
    <t>Produção</t>
  </si>
  <si>
    <t>Ter 2 vistoriadores no ranking dos melhores de Produção</t>
  </si>
  <si>
    <t>Leonardo Sousa</t>
  </si>
  <si>
    <t>Wendell Bruno</t>
  </si>
  <si>
    <t>ATRASADO</t>
  </si>
  <si>
    <t>Chapadinha</t>
  </si>
  <si>
    <t>Qualidade</t>
  </si>
  <si>
    <t>Reduzir para 32 erros de qualidade</t>
  </si>
  <si>
    <t>Santa Inês</t>
  </si>
  <si>
    <t>Todos os 10 vistoriadores devem alcançar a meta de Produção</t>
  </si>
  <si>
    <t>7 vistoriadores devem alcançar a meta de Qualidade</t>
  </si>
  <si>
    <t>São João dos Patos</t>
  </si>
  <si>
    <t>Desligamento do Hamurab</t>
  </si>
  <si>
    <t xml:space="preserve">Atingir Meta de Qualidade: João Victor e Joatan </t>
  </si>
  <si>
    <t>São José do Ribamar</t>
  </si>
  <si>
    <t>Analisar Headcount da unidade
(verificar se aumentando a quantidade de colaboradores é possível aumentar a produção)</t>
  </si>
  <si>
    <t>Gerson Rios</t>
  </si>
  <si>
    <t>Fazer com que 5 vistoriadores alcancem a meta de Produção</t>
  </si>
  <si>
    <t>Fazer com que 3 vistoriadores alcancem a meta de Qualidade</t>
  </si>
  <si>
    <t>Infraestrutura</t>
  </si>
  <si>
    <t>⁠Fazer plano de investimento para a recepção de Barra do Corda</t>
  </si>
  <si>
    <t>MODERADO</t>
  </si>
  <si>
    <t>Marketing</t>
  </si>
  <si>
    <t>Avaliação Google - Aumentar para 4,5</t>
  </si>
  <si>
    <t>Ruana Gomes</t>
  </si>
  <si>
    <t>50% dos vistoriadores atingirem a meta de produção 
(fevereiro: 0 vistoriadores; março: 2 vistoriadores)</t>
  </si>
  <si>
    <t>Todos os vistoriadores atingirem a meta de qualidade
(fevereiro: 3 vistoriadores; março: 4 vistoriadores)</t>
  </si>
  <si>
    <t>Atingir meta de produção: vistoriadores Marcos Henrique e Claudiomar
(fevereiro: só o Claudiomar tinha alcançado a meta)</t>
  </si>
  <si>
    <t>Todos os vistoriadores atingirem a meta de qualidade
(fevereiro: 2 vistoriadores; março: 3 vistoriadores)</t>
  </si>
  <si>
    <t>LOG</t>
  </si>
  <si>
    <t>Timon</t>
  </si>
  <si>
    <t>Fazer com que mais 6 vistoriadores alcancem a meta de produção 
(fevereiro: 2 vistoriadores; março: 8 vistoriadores)</t>
  </si>
  <si>
    <t>São Luís</t>
  </si>
  <si>
    <t>Todos os vistoriadores atingirem a meta de qualidade
(fevereiro: 3 vistoriadores; março: 8 vistoriadores)</t>
  </si>
  <si>
    <t>Fazer com que mais 4 vistoriadores alcancem a meta de produção 
(fevereiro: 1 vistoriador; março: 5 vistoriadores)</t>
  </si>
  <si>
    <t>BAIXA</t>
  </si>
  <si>
    <t>Carolina</t>
  </si>
  <si>
    <t>Fazer com que mais 2 vistoriadores alcancem a meta de qualidade
(fevereiro: 3 vistoriadores; março: 5 vistoriadores)</t>
  </si>
  <si>
    <t>Açailândia</t>
  </si>
  <si>
    <t>Todos os vistoriadores atingirem a meta de produção
(fevereiro: 2 vistoriadores; março: 3 vistoriadores)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</si>
</sst>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164" xfId="0" applyFont="1" applyNumberFormat="1"/>
    <xf borderId="0" fillId="0" fontId="1" numFmtId="9" xfId="0" applyFont="1" applyNumberFormat="1"/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tr">
        <f>IFERROR(__xludf.DUMMYFUNCTION("importrange(""https://docs.google.com/spreadsheets/d/1vTvqMw0vbRLTvduh4jYKi0bJ9cfq7ZUu2_VJSOsLZfg/edit?gid=0#gid=0"",""teste!a:m"")"),"EMPRESA")</f>
        <v>EMPRESA</v>
      </c>
      <c r="B1" s="1" t="str">
        <f>IFERROR(__xludf.DUMMYFUNCTION("""COMPUTED_VALUE"""),"UNIDADE")</f>
        <v>UNIDADE</v>
      </c>
      <c r="C1" s="1" t="str">
        <f>IFERROR(__xludf.DUMMYFUNCTION("""COMPUTED_VALUE"""),"CATEGORIA")</f>
        <v>CATEGORIA</v>
      </c>
      <c r="D1" s="1" t="str">
        <f>IFERROR(__xludf.DUMMYFUNCTION("""COMPUTED_VALUE"""),"ATIVIDADE")</f>
        <v>ATIVIDADE</v>
      </c>
      <c r="E1" s="1" t="str">
        <f>IFERROR(__xludf.DUMMYFUNCTION("""COMPUTED_VALUE"""),"RESPONSÁVEL")</f>
        <v>RESPONSÁVEL</v>
      </c>
      <c r="F1" s="1" t="str">
        <f>IFERROR(__xludf.DUMMYFUNCTION("""COMPUTED_VALUE"""),"ENVOLVIDOS")</f>
        <v>ENVOLVIDOS</v>
      </c>
      <c r="G1" s="1" t="str">
        <f>IFERROR(__xludf.DUMMYFUNCTION("""COMPUTED_VALUE"""),"INÍCIO")</f>
        <v>INÍCIO</v>
      </c>
      <c r="H1" s="1" t="str">
        <f>IFERROR(__xludf.DUMMYFUNCTION("""COMPUTED_VALUE"""),"PRAZO")</f>
        <v>PRAZO</v>
      </c>
      <c r="I1" s="1" t="str">
        <f>IFERROR(__xludf.DUMMYFUNCTION("""COMPUTED_VALUE"""),"STATUS")</f>
        <v>STATUS</v>
      </c>
      <c r="J1" s="1" t="str">
        <f>IFERROR(__xludf.DUMMYFUNCTION("""COMPUTED_VALUE"""),"PRIORIDADE")</f>
        <v>PRIORIDADE</v>
      </c>
      <c r="K1" s="1" t="str">
        <f>IFERROR(__xludf.DUMMYFUNCTION("""COMPUTED_VALUE"""),"% AVANÇO")</f>
        <v>% AVANÇO</v>
      </c>
      <c r="L1" s="1" t="str">
        <f>IFERROR(__xludf.DUMMYFUNCTION("""COMPUTED_VALUE"""),"ÚLTIMA ATUALIZAÇÃO")</f>
        <v>ÚLTIMA ATUALIZAÇÃO</v>
      </c>
      <c r="M1" s="1" t="str">
        <f>IFERROR(__xludf.DUMMYFUNCTION("""COMPUTED_VALUE"""),"MOTIVO ATRASO")</f>
        <v>MOTIVO ATRASO</v>
      </c>
    </row>
    <row r="2">
      <c r="A2" s="1" t="str">
        <f>IFERROR(__xludf.DUMMYFUNCTION("""COMPUTED_VALUE"""),"Tokyo")</f>
        <v>Tokyo</v>
      </c>
      <c r="B2" s="1" t="str">
        <f>IFERROR(__xludf.DUMMYFUNCTION("""COMPUTED_VALUE"""),"Todas Unidades")</f>
        <v>Todas Unidades</v>
      </c>
      <c r="C2" s="1" t="str">
        <f>IFERROR(__xludf.DUMMYFUNCTION("""COMPUTED_VALUE"""),"Pessoas")</f>
        <v>Pessoas</v>
      </c>
      <c r="D2" s="1" t="str">
        <f>IFERROR(__xludf.DUMMYFUNCTION("""COMPUTED_VALUE"""),"Criação de Política de Programação de Férias")</f>
        <v>Criação de Política de Programação de Férias</v>
      </c>
      <c r="E2" s="1" t="str">
        <f>IFERROR(__xludf.DUMMYFUNCTION("""COMPUTED_VALUE"""),"Indira Curty")</f>
        <v>Indira Curty</v>
      </c>
      <c r="F2" s="1" t="str">
        <f>IFERROR(__xludf.DUMMYFUNCTION("""COMPUTED_VALUE"""),"Alberto Linhares
Gerson Rios")</f>
        <v>Alberto Linhares
Gerson Rios</v>
      </c>
      <c r="G2" s="2">
        <f>IFERROR(__xludf.DUMMYFUNCTION("""COMPUTED_VALUE"""),46057.0)</f>
        <v>46057</v>
      </c>
      <c r="H2" s="2">
        <f>IFERROR(__xludf.DUMMYFUNCTION("""COMPUTED_VALUE"""),46112.0)</f>
        <v>46112</v>
      </c>
      <c r="I2" s="1" t="str">
        <f>IFERROR(__xludf.DUMMYFUNCTION("""COMPUTED_VALUE"""),"EM ANDAMENTO")</f>
        <v>EM ANDAMENTO</v>
      </c>
      <c r="J2" s="1" t="str">
        <f>IFERROR(__xludf.DUMMYFUNCTION("""COMPUTED_VALUE"""),"ALTA")</f>
        <v>ALTA</v>
      </c>
      <c r="K2" s="3">
        <f>IFERROR(__xludf.DUMMYFUNCTION("""COMPUTED_VALUE"""),1.0)</f>
        <v>1</v>
      </c>
      <c r="L2" s="1"/>
      <c r="M2" s="1"/>
    </row>
    <row r="3">
      <c r="A3" s="1" t="str">
        <f>IFERROR(__xludf.DUMMYFUNCTION("""COMPUTED_VALUE"""),"Tokyo")</f>
        <v>Tokyo</v>
      </c>
      <c r="B3" s="1" t="str">
        <f>IFERROR(__xludf.DUMMYFUNCTION("""COMPUTED_VALUE"""),"Barra do Corda")</f>
        <v>Barra do Corda</v>
      </c>
      <c r="C3" s="1" t="str">
        <f>IFERROR(__xludf.DUMMYFUNCTION("""COMPUTED_VALUE"""),"Produção")</f>
        <v>Produção</v>
      </c>
      <c r="D3" s="1" t="str">
        <f>IFERROR(__xludf.DUMMYFUNCTION("""COMPUTED_VALUE"""),"Ter 2 vistoriadores no ranking dos melhores de Produção")</f>
        <v>Ter 2 vistoriadores no ranking dos melhores de Produção</v>
      </c>
      <c r="E3" s="1" t="str">
        <f>IFERROR(__xludf.DUMMYFUNCTION("""COMPUTED_VALUE"""),"Leonardo Sousa")</f>
        <v>Leonardo Sousa</v>
      </c>
      <c r="F3" s="1" t="str">
        <f>IFERROR(__xludf.DUMMYFUNCTION("""COMPUTED_VALUE"""),"Wendell Bruno")</f>
        <v>Wendell Bruno</v>
      </c>
      <c r="G3" s="2">
        <f>IFERROR(__xludf.DUMMYFUNCTION("""COMPUTED_VALUE"""),46057.0)</f>
        <v>46057</v>
      </c>
      <c r="H3" s="2">
        <f>IFERROR(__xludf.DUMMYFUNCTION("""COMPUTED_VALUE"""),46085.0)</f>
        <v>46085</v>
      </c>
      <c r="I3" s="1" t="str">
        <f>IFERROR(__xludf.DUMMYFUNCTION("""COMPUTED_VALUE"""),"ATRASADO")</f>
        <v>ATRASADO</v>
      </c>
      <c r="J3" s="1" t="str">
        <f>IFERROR(__xludf.DUMMYFUNCTION("""COMPUTED_VALUE"""),"ALTA")</f>
        <v>ALTA</v>
      </c>
      <c r="K3" s="3">
        <f>IFERROR(__xludf.DUMMYFUNCTION("""COMPUTED_VALUE"""),0.5)</f>
        <v>0.5</v>
      </c>
      <c r="L3" s="1"/>
      <c r="M3" s="1"/>
    </row>
    <row r="4">
      <c r="A4" s="1" t="str">
        <f>IFERROR(__xludf.DUMMYFUNCTION("""COMPUTED_VALUE"""),"Tokyo")</f>
        <v>Tokyo</v>
      </c>
      <c r="B4" s="1" t="str">
        <f>IFERROR(__xludf.DUMMYFUNCTION("""COMPUTED_VALUE"""),"Chapadinha")</f>
        <v>Chapadinha</v>
      </c>
      <c r="C4" s="1" t="str">
        <f>IFERROR(__xludf.DUMMYFUNCTION("""COMPUTED_VALUE"""),"Qualidade")</f>
        <v>Qualidade</v>
      </c>
      <c r="D4" s="1" t="str">
        <f>IFERROR(__xludf.DUMMYFUNCTION("""COMPUTED_VALUE"""),"Reduzir para 32 erros de qualidade")</f>
        <v>Reduzir para 32 erros de qualidade</v>
      </c>
      <c r="E4" s="1" t="str">
        <f>IFERROR(__xludf.DUMMYFUNCTION("""COMPUTED_VALUE"""),"Leonardo Sousa")</f>
        <v>Leonardo Sousa</v>
      </c>
      <c r="F4" s="1" t="str">
        <f>IFERROR(__xludf.DUMMYFUNCTION("""COMPUTED_VALUE"""),"Wendell Bruno")</f>
        <v>Wendell Bruno</v>
      </c>
      <c r="G4" s="2">
        <f>IFERROR(__xludf.DUMMYFUNCTION("""COMPUTED_VALUE"""),46057.0)</f>
        <v>46057</v>
      </c>
      <c r="H4" s="2">
        <f>IFERROR(__xludf.DUMMYFUNCTION("""COMPUTED_VALUE"""),46085.0)</f>
        <v>46085</v>
      </c>
      <c r="I4" s="1" t="str">
        <f>IFERROR(__xludf.DUMMYFUNCTION("""COMPUTED_VALUE"""),"ATRASADO")</f>
        <v>ATRASADO</v>
      </c>
      <c r="J4" s="1" t="str">
        <f>IFERROR(__xludf.DUMMYFUNCTION("""COMPUTED_VALUE"""),"ALTA")</f>
        <v>ALTA</v>
      </c>
      <c r="K4" s="3">
        <f>IFERROR(__xludf.DUMMYFUNCTION("""COMPUTED_VALUE"""),0.75)</f>
        <v>0.75</v>
      </c>
      <c r="L4" s="1"/>
      <c r="M4" s="1"/>
    </row>
    <row r="5">
      <c r="A5" s="1" t="str">
        <f>IFERROR(__xludf.DUMMYFUNCTION("""COMPUTED_VALUE"""),"Tokyo")</f>
        <v>Tokyo</v>
      </c>
      <c r="B5" s="1" t="str">
        <f>IFERROR(__xludf.DUMMYFUNCTION("""COMPUTED_VALUE"""),"Santa Inês")</f>
        <v>Santa Inês</v>
      </c>
      <c r="C5" s="1" t="str">
        <f>IFERROR(__xludf.DUMMYFUNCTION("""COMPUTED_VALUE"""),"Produção")</f>
        <v>Produção</v>
      </c>
      <c r="D5" s="1" t="str">
        <f>IFERROR(__xludf.DUMMYFUNCTION("""COMPUTED_VALUE"""),"Todos os 10 vistoriadores devem alcançar a meta de Produção")</f>
        <v>Todos os 10 vistoriadores devem alcançar a meta de Produção</v>
      </c>
      <c r="E5" s="1" t="str">
        <f>IFERROR(__xludf.DUMMYFUNCTION("""COMPUTED_VALUE"""),"Leonardo Sousa")</f>
        <v>Leonardo Sousa</v>
      </c>
      <c r="F5" s="1" t="str">
        <f>IFERROR(__xludf.DUMMYFUNCTION("""COMPUTED_VALUE"""),"Wendell Bruno")</f>
        <v>Wendell Bruno</v>
      </c>
      <c r="G5" s="2">
        <f>IFERROR(__xludf.DUMMYFUNCTION("""COMPUTED_VALUE"""),46057.0)</f>
        <v>46057</v>
      </c>
      <c r="H5" s="2">
        <f>IFERROR(__xludf.DUMMYFUNCTION("""COMPUTED_VALUE"""),46085.0)</f>
        <v>46085</v>
      </c>
      <c r="I5" s="1" t="str">
        <f>IFERROR(__xludf.DUMMYFUNCTION("""COMPUTED_VALUE"""),"ATRASADO")</f>
        <v>ATRASADO</v>
      </c>
      <c r="J5" s="1" t="str">
        <f>IFERROR(__xludf.DUMMYFUNCTION("""COMPUTED_VALUE"""),"ALTA")</f>
        <v>ALTA</v>
      </c>
      <c r="K5" s="3">
        <f>IFERROR(__xludf.DUMMYFUNCTION("""COMPUTED_VALUE"""),0.25)</f>
        <v>0.25</v>
      </c>
      <c r="L5" s="1"/>
      <c r="M5" s="1"/>
    </row>
    <row r="6">
      <c r="A6" s="1" t="str">
        <f>IFERROR(__xludf.DUMMYFUNCTION("""COMPUTED_VALUE"""),"Tokyo")</f>
        <v>Tokyo</v>
      </c>
      <c r="B6" s="1" t="str">
        <f>IFERROR(__xludf.DUMMYFUNCTION("""COMPUTED_VALUE"""),"Santa Inês")</f>
        <v>Santa Inês</v>
      </c>
      <c r="C6" s="1" t="str">
        <f>IFERROR(__xludf.DUMMYFUNCTION("""COMPUTED_VALUE"""),"Qualidade")</f>
        <v>Qualidade</v>
      </c>
      <c r="D6" s="1" t="str">
        <f>IFERROR(__xludf.DUMMYFUNCTION("""COMPUTED_VALUE"""),"7 vistoriadores devem alcançar a meta de Qualidade")</f>
        <v>7 vistoriadores devem alcançar a meta de Qualidade</v>
      </c>
      <c r="E6" s="1" t="str">
        <f>IFERROR(__xludf.DUMMYFUNCTION("""COMPUTED_VALUE"""),"Leonardo Sousa")</f>
        <v>Leonardo Sousa</v>
      </c>
      <c r="F6" s="1" t="str">
        <f>IFERROR(__xludf.DUMMYFUNCTION("""COMPUTED_VALUE"""),"Wendell Bruno")</f>
        <v>Wendell Bruno</v>
      </c>
      <c r="G6" s="2">
        <f>IFERROR(__xludf.DUMMYFUNCTION("""COMPUTED_VALUE"""),46057.0)</f>
        <v>46057</v>
      </c>
      <c r="H6" s="2">
        <f>IFERROR(__xludf.DUMMYFUNCTION("""COMPUTED_VALUE"""),46085.0)</f>
        <v>46085</v>
      </c>
      <c r="I6" s="1" t="str">
        <f>IFERROR(__xludf.DUMMYFUNCTION("""COMPUTED_VALUE"""),"ATRASADO")</f>
        <v>ATRASADO</v>
      </c>
      <c r="J6" s="1" t="str">
        <f>IFERROR(__xludf.DUMMYFUNCTION("""COMPUTED_VALUE"""),"ALTA")</f>
        <v>ALTA</v>
      </c>
      <c r="K6" s="3">
        <f>IFERROR(__xludf.DUMMYFUNCTION("""COMPUTED_VALUE"""),1.0)</f>
        <v>1</v>
      </c>
      <c r="L6" s="1"/>
      <c r="M6" s="1"/>
    </row>
    <row r="7">
      <c r="A7" s="1" t="str">
        <f>IFERROR(__xludf.DUMMYFUNCTION("""COMPUTED_VALUE"""),"Tokyo")</f>
        <v>Tokyo</v>
      </c>
      <c r="B7" s="1" t="str">
        <f>IFERROR(__xludf.DUMMYFUNCTION("""COMPUTED_VALUE"""),"São João dos Patos")</f>
        <v>São João dos Patos</v>
      </c>
      <c r="C7" s="1" t="str">
        <f>IFERROR(__xludf.DUMMYFUNCTION("""COMPUTED_VALUE"""),"Pessoas")</f>
        <v>Pessoas</v>
      </c>
      <c r="D7" s="1" t="str">
        <f>IFERROR(__xludf.DUMMYFUNCTION("""COMPUTED_VALUE"""),"Desligamento do Hamurab")</f>
        <v>Desligamento do Hamurab</v>
      </c>
      <c r="E7" s="1" t="str">
        <f>IFERROR(__xludf.DUMMYFUNCTION("""COMPUTED_VALUE"""),"Leonardo Sousa")</f>
        <v>Leonardo Sousa</v>
      </c>
      <c r="F7" s="1" t="str">
        <f>IFERROR(__xludf.DUMMYFUNCTION("""COMPUTED_VALUE"""),"Indira Curty")</f>
        <v>Indira Curty</v>
      </c>
      <c r="G7" s="2">
        <f>IFERROR(__xludf.DUMMYFUNCTION("""COMPUTED_VALUE"""),46057.0)</f>
        <v>46057</v>
      </c>
      <c r="H7" s="2">
        <f>IFERROR(__xludf.DUMMYFUNCTION("""COMPUTED_VALUE"""),46085.0)</f>
        <v>46085</v>
      </c>
      <c r="I7" s="1" t="str">
        <f>IFERROR(__xludf.DUMMYFUNCTION("""COMPUTED_VALUE"""),"ATRASADO")</f>
        <v>ATRASADO</v>
      </c>
      <c r="J7" s="1" t="str">
        <f>IFERROR(__xludf.DUMMYFUNCTION("""COMPUTED_VALUE"""),"ALTA")</f>
        <v>ALTA</v>
      </c>
      <c r="K7" s="3">
        <f>IFERROR(__xludf.DUMMYFUNCTION("""COMPUTED_VALUE"""),0.5)</f>
        <v>0.5</v>
      </c>
      <c r="L7" s="1"/>
      <c r="M7" s="1"/>
    </row>
    <row r="8">
      <c r="A8" s="1" t="str">
        <f>IFERROR(__xludf.DUMMYFUNCTION("""COMPUTED_VALUE"""),"Tokyo")</f>
        <v>Tokyo</v>
      </c>
      <c r="B8" s="1" t="str">
        <f>IFERROR(__xludf.DUMMYFUNCTION("""COMPUTED_VALUE"""),"São João dos Patos")</f>
        <v>São João dos Patos</v>
      </c>
      <c r="C8" s="1" t="str">
        <f>IFERROR(__xludf.DUMMYFUNCTION("""COMPUTED_VALUE"""),"Qualidade")</f>
        <v>Qualidade</v>
      </c>
      <c r="D8" s="1" t="str">
        <f>IFERROR(__xludf.DUMMYFUNCTION("""COMPUTED_VALUE"""),"Atingir Meta de Qualidade: João Victor e Joatan ")</f>
        <v>Atingir Meta de Qualidade: João Victor e Joatan </v>
      </c>
      <c r="E8" s="1" t="str">
        <f>IFERROR(__xludf.DUMMYFUNCTION("""COMPUTED_VALUE"""),"Leonardo Sousa")</f>
        <v>Leonardo Sousa</v>
      </c>
      <c r="F8" s="1" t="str">
        <f>IFERROR(__xludf.DUMMYFUNCTION("""COMPUTED_VALUE"""),"Wendell Bruno")</f>
        <v>Wendell Bruno</v>
      </c>
      <c r="G8" s="2">
        <f>IFERROR(__xludf.DUMMYFUNCTION("""COMPUTED_VALUE"""),46057.0)</f>
        <v>46057</v>
      </c>
      <c r="H8" s="2">
        <f>IFERROR(__xludf.DUMMYFUNCTION("""COMPUTED_VALUE"""),46085.0)</f>
        <v>46085</v>
      </c>
      <c r="I8" s="1" t="str">
        <f>IFERROR(__xludf.DUMMYFUNCTION("""COMPUTED_VALUE"""),"ATRASADO")</f>
        <v>ATRASADO</v>
      </c>
      <c r="J8" s="1" t="str">
        <f>IFERROR(__xludf.DUMMYFUNCTION("""COMPUTED_VALUE"""),"ALTA")</f>
        <v>ALTA</v>
      </c>
      <c r="K8" s="3">
        <f>IFERROR(__xludf.DUMMYFUNCTION("""COMPUTED_VALUE"""),0.75)</f>
        <v>0.75</v>
      </c>
      <c r="L8" s="1"/>
      <c r="M8" s="1"/>
    </row>
    <row r="9">
      <c r="A9" s="1" t="str">
        <f>IFERROR(__xludf.DUMMYFUNCTION("""COMPUTED_VALUE"""),"Tokyo")</f>
        <v>Tokyo</v>
      </c>
      <c r="B9" s="1" t="str">
        <f>IFERROR(__xludf.DUMMYFUNCTION("""COMPUTED_VALUE"""),"São José do Ribamar")</f>
        <v>São José do Ribamar</v>
      </c>
      <c r="C9" s="1" t="str">
        <f>IFERROR(__xludf.DUMMYFUNCTION("""COMPUTED_VALUE"""),"Pessoas")</f>
        <v>Pessoas</v>
      </c>
      <c r="D9" s="1" t="str">
        <f>IFERROR(__xludf.DUMMYFUNCTION("""COMPUTED_VALUE"""),"Analisar Headcount da unidade
(verificar se aumentando a quantidade de colaboradores é possível aumentar a produção)")</f>
        <v>Analisar Headcount da unidade
(verificar se aumentando a quantidade de colaboradores é possível aumentar a produção)</v>
      </c>
      <c r="E9" s="1" t="str">
        <f>IFERROR(__xludf.DUMMYFUNCTION("""COMPUTED_VALUE"""),"Indira Curty")</f>
        <v>Indira Curty</v>
      </c>
      <c r="F9" s="1" t="str">
        <f>IFERROR(__xludf.DUMMYFUNCTION("""COMPUTED_VALUE"""),"Gerson Rios")</f>
        <v>Gerson Rios</v>
      </c>
      <c r="G9" s="2">
        <f>IFERROR(__xludf.DUMMYFUNCTION("""COMPUTED_VALUE"""),46057.0)</f>
        <v>46057</v>
      </c>
      <c r="H9" s="2">
        <f>IFERROR(__xludf.DUMMYFUNCTION("""COMPUTED_VALUE"""),46085.0)</f>
        <v>46085</v>
      </c>
      <c r="I9" s="1" t="str">
        <f>IFERROR(__xludf.DUMMYFUNCTION("""COMPUTED_VALUE"""),"ATRASADO")</f>
        <v>ATRASADO</v>
      </c>
      <c r="J9" s="1" t="str">
        <f>IFERROR(__xludf.DUMMYFUNCTION("""COMPUTED_VALUE"""),"ALTA")</f>
        <v>ALTA</v>
      </c>
      <c r="K9" s="3">
        <f>IFERROR(__xludf.DUMMYFUNCTION("""COMPUTED_VALUE"""),0.25)</f>
        <v>0.25</v>
      </c>
      <c r="L9" s="1"/>
      <c r="M9" s="1"/>
    </row>
    <row r="10">
      <c r="A10" s="1" t="str">
        <f>IFERROR(__xludf.DUMMYFUNCTION("""COMPUTED_VALUE"""),"Tokyo")</f>
        <v>Tokyo</v>
      </c>
      <c r="B10" s="1" t="str">
        <f>IFERROR(__xludf.DUMMYFUNCTION("""COMPUTED_VALUE"""),"São José do Ribamar")</f>
        <v>São José do Ribamar</v>
      </c>
      <c r="C10" s="1" t="str">
        <f>IFERROR(__xludf.DUMMYFUNCTION("""COMPUTED_VALUE"""),"Produção")</f>
        <v>Produção</v>
      </c>
      <c r="D10" s="1" t="str">
        <f>IFERROR(__xludf.DUMMYFUNCTION("""COMPUTED_VALUE"""),"Fazer com que 5 vistoriadores alcancem a meta de Produção")</f>
        <v>Fazer com que 5 vistoriadores alcancem a meta de Produção</v>
      </c>
      <c r="E10" s="1" t="str">
        <f>IFERROR(__xludf.DUMMYFUNCTION("""COMPUTED_VALUE"""),"Leonardo Sousa")</f>
        <v>Leonardo Sousa</v>
      </c>
      <c r="F10" s="1" t="str">
        <f>IFERROR(__xludf.DUMMYFUNCTION("""COMPUTED_VALUE"""),"Wendell Bruno")</f>
        <v>Wendell Bruno</v>
      </c>
      <c r="G10" s="2">
        <f>IFERROR(__xludf.DUMMYFUNCTION("""COMPUTED_VALUE"""),46057.0)</f>
        <v>46057</v>
      </c>
      <c r="H10" s="2">
        <f>IFERROR(__xludf.DUMMYFUNCTION("""COMPUTED_VALUE"""),46085.0)</f>
        <v>46085</v>
      </c>
      <c r="I10" s="1" t="str">
        <f>IFERROR(__xludf.DUMMYFUNCTION("""COMPUTED_VALUE"""),"ATRASADO")</f>
        <v>ATRASADO</v>
      </c>
      <c r="J10" s="1" t="str">
        <f>IFERROR(__xludf.DUMMYFUNCTION("""COMPUTED_VALUE"""),"ALTA")</f>
        <v>ALTA</v>
      </c>
      <c r="K10" s="3">
        <f>IFERROR(__xludf.DUMMYFUNCTION("""COMPUTED_VALUE"""),1.0)</f>
        <v>1</v>
      </c>
      <c r="L10" s="1"/>
      <c r="M10" s="1"/>
    </row>
    <row r="11">
      <c r="A11" s="1" t="str">
        <f>IFERROR(__xludf.DUMMYFUNCTION("""COMPUTED_VALUE"""),"Tokyo")</f>
        <v>Tokyo</v>
      </c>
      <c r="B11" s="1" t="str">
        <f>IFERROR(__xludf.DUMMYFUNCTION("""COMPUTED_VALUE"""),"São José do Ribamar")</f>
        <v>São José do Ribamar</v>
      </c>
      <c r="C11" s="1" t="str">
        <f>IFERROR(__xludf.DUMMYFUNCTION("""COMPUTED_VALUE"""),"Qualidade")</f>
        <v>Qualidade</v>
      </c>
      <c r="D11" s="1" t="str">
        <f>IFERROR(__xludf.DUMMYFUNCTION("""COMPUTED_VALUE"""),"Fazer com que 3 vistoriadores alcancem a meta de Qualidade")</f>
        <v>Fazer com que 3 vistoriadores alcancem a meta de Qualidade</v>
      </c>
      <c r="E11" s="1" t="str">
        <f>IFERROR(__xludf.DUMMYFUNCTION("""COMPUTED_VALUE"""),"Leonardo Sousa")</f>
        <v>Leonardo Sousa</v>
      </c>
      <c r="F11" s="1" t="str">
        <f>IFERROR(__xludf.DUMMYFUNCTION("""COMPUTED_VALUE"""),"Wendell Bruno")</f>
        <v>Wendell Bruno</v>
      </c>
      <c r="G11" s="2">
        <f>IFERROR(__xludf.DUMMYFUNCTION("""COMPUTED_VALUE"""),46057.0)</f>
        <v>46057</v>
      </c>
      <c r="H11" s="2">
        <f>IFERROR(__xludf.DUMMYFUNCTION("""COMPUTED_VALUE"""),46085.0)</f>
        <v>46085</v>
      </c>
      <c r="I11" s="1" t="str">
        <f>IFERROR(__xludf.DUMMYFUNCTION("""COMPUTED_VALUE"""),"ATRASADO")</f>
        <v>ATRASADO</v>
      </c>
      <c r="J11" s="1" t="str">
        <f>IFERROR(__xludf.DUMMYFUNCTION("""COMPUTED_VALUE"""),"ALTA")</f>
        <v>ALTA</v>
      </c>
      <c r="K11" s="3">
        <f>IFERROR(__xludf.DUMMYFUNCTION("""COMPUTED_VALUE"""),0.5)</f>
        <v>0.5</v>
      </c>
      <c r="L11" s="1"/>
      <c r="M11" s="1"/>
    </row>
    <row r="12">
      <c r="A12" s="1" t="str">
        <f>IFERROR(__xludf.DUMMYFUNCTION("""COMPUTED_VALUE"""),"Tokyo")</f>
        <v>Tokyo</v>
      </c>
      <c r="B12" s="1" t="str">
        <f>IFERROR(__xludf.DUMMYFUNCTION("""COMPUTED_VALUE"""),"Barra do Corda")</f>
        <v>Barra do Corda</v>
      </c>
      <c r="C12" s="1" t="str">
        <f>IFERROR(__xludf.DUMMYFUNCTION("""COMPUTED_VALUE"""),"Infraestrutura")</f>
        <v>Infraestrutura</v>
      </c>
      <c r="D12" s="1" t="str">
        <f>IFERROR(__xludf.DUMMYFUNCTION("""COMPUTED_VALUE"""),"⁠Fazer plano de investimento para a recepção de Barra do Corda")</f>
        <v>⁠Fazer plano de investimento para a recepção de Barra do Corda</v>
      </c>
      <c r="E12" s="1" t="str">
        <f>IFERROR(__xludf.DUMMYFUNCTION("""COMPUTED_VALUE"""),"Leonardo Sousa")</f>
        <v>Leonardo Sousa</v>
      </c>
      <c r="F12" s="1" t="str">
        <f>IFERROR(__xludf.DUMMYFUNCTION("""COMPUTED_VALUE"""),"Gerson Rios")</f>
        <v>Gerson Rios</v>
      </c>
      <c r="G12" s="2">
        <f>IFERROR(__xludf.DUMMYFUNCTION("""COMPUTED_VALUE"""),46057.0)</f>
        <v>46057</v>
      </c>
      <c r="H12" s="2">
        <f>IFERROR(__xludf.DUMMYFUNCTION("""COMPUTED_VALUE"""),46085.0)</f>
        <v>46085</v>
      </c>
      <c r="I12" s="1" t="str">
        <f>IFERROR(__xludf.DUMMYFUNCTION("""COMPUTED_VALUE"""),"ATRASADO")</f>
        <v>ATRASADO</v>
      </c>
      <c r="J12" s="1" t="str">
        <f>IFERROR(__xludf.DUMMYFUNCTION("""COMPUTED_VALUE"""),"MODERADO")</f>
        <v>MODERADO</v>
      </c>
      <c r="K12" s="3">
        <f>IFERROR(__xludf.DUMMYFUNCTION("""COMPUTED_VALUE"""),0.75)</f>
        <v>0.75</v>
      </c>
      <c r="L12" s="1"/>
      <c r="M12" s="1"/>
    </row>
    <row r="13">
      <c r="A13" s="1" t="str">
        <f>IFERROR(__xludf.DUMMYFUNCTION("""COMPUTED_VALUE"""),"Tokyo")</f>
        <v>Tokyo</v>
      </c>
      <c r="B13" s="1" t="str">
        <f>IFERROR(__xludf.DUMMYFUNCTION("""COMPUTED_VALUE"""),"São José do Ribamar")</f>
        <v>São José do Ribamar</v>
      </c>
      <c r="C13" s="1" t="str">
        <f>IFERROR(__xludf.DUMMYFUNCTION("""COMPUTED_VALUE"""),"Marketing")</f>
        <v>Marketing</v>
      </c>
      <c r="D13" s="1" t="str">
        <f>IFERROR(__xludf.DUMMYFUNCTION("""COMPUTED_VALUE"""),"Avaliação Google - Aumentar para 4,5")</f>
        <v>Avaliação Google - Aumentar para 4,5</v>
      </c>
      <c r="E13" s="1" t="str">
        <f>IFERROR(__xludf.DUMMYFUNCTION("""COMPUTED_VALUE"""),"Leonardo Sousa")</f>
        <v>Leonardo Sousa</v>
      </c>
      <c r="F13" s="1" t="str">
        <f>IFERROR(__xludf.DUMMYFUNCTION("""COMPUTED_VALUE"""),"Ruana Gomes")</f>
        <v>Ruana Gomes</v>
      </c>
      <c r="G13" s="2">
        <f>IFERROR(__xludf.DUMMYFUNCTION("""COMPUTED_VALUE"""),46057.0)</f>
        <v>46057</v>
      </c>
      <c r="H13" s="2">
        <f>IFERROR(__xludf.DUMMYFUNCTION("""COMPUTED_VALUE"""),46233.0)</f>
        <v>46233</v>
      </c>
      <c r="I13" s="1" t="str">
        <f>IFERROR(__xludf.DUMMYFUNCTION("""COMPUTED_VALUE"""),"EM ANDAMENTO")</f>
        <v>EM ANDAMENTO</v>
      </c>
      <c r="J13" s="1" t="str">
        <f>IFERROR(__xludf.DUMMYFUNCTION("""COMPUTED_VALUE"""),"MODERADO")</f>
        <v>MODERADO</v>
      </c>
      <c r="K13" s="3">
        <f>IFERROR(__xludf.DUMMYFUNCTION("""COMPUTED_VALUE"""),0.25)</f>
        <v>0.25</v>
      </c>
      <c r="L13" s="1"/>
      <c r="M13" s="1"/>
    </row>
    <row r="14">
      <c r="A14" s="1" t="str">
        <f>IFERROR(__xludf.DUMMYFUNCTION("""COMPUTED_VALUE"""),"Tokyo")</f>
        <v>Tokyo</v>
      </c>
      <c r="B14" s="1" t="str">
        <f>IFERROR(__xludf.DUMMYFUNCTION("""COMPUTED_VALUE"""),"Santa Inês")</f>
        <v>Santa Inês</v>
      </c>
      <c r="C14" s="1" t="str">
        <f>IFERROR(__xludf.DUMMYFUNCTION("""COMPUTED_VALUE"""),"Marketing")</f>
        <v>Marketing</v>
      </c>
      <c r="D14" s="1" t="str">
        <f>IFERROR(__xludf.DUMMYFUNCTION("""COMPUTED_VALUE"""),"Avaliação Google - Aumentar para 4,5")</f>
        <v>Avaliação Google - Aumentar para 4,5</v>
      </c>
      <c r="E14" s="1" t="str">
        <f>IFERROR(__xludf.DUMMYFUNCTION("""COMPUTED_VALUE"""),"Leonardo Sousa")</f>
        <v>Leonardo Sousa</v>
      </c>
      <c r="F14" s="1" t="str">
        <f>IFERROR(__xludf.DUMMYFUNCTION("""COMPUTED_VALUE"""),"Ruana Gomes")</f>
        <v>Ruana Gomes</v>
      </c>
      <c r="G14" s="2">
        <f>IFERROR(__xludf.DUMMYFUNCTION("""COMPUTED_VALUE"""),46057.0)</f>
        <v>46057</v>
      </c>
      <c r="H14" s="2">
        <f>IFERROR(__xludf.DUMMYFUNCTION("""COMPUTED_VALUE"""),46233.0)</f>
        <v>46233</v>
      </c>
      <c r="I14" s="1" t="str">
        <f>IFERROR(__xludf.DUMMYFUNCTION("""COMPUTED_VALUE"""),"EM ANDAMENTO")</f>
        <v>EM ANDAMENTO</v>
      </c>
      <c r="J14" s="1" t="str">
        <f>IFERROR(__xludf.DUMMYFUNCTION("""COMPUTED_VALUE"""),"MODERADO")</f>
        <v>MODERADO</v>
      </c>
      <c r="K14" s="3">
        <f>IFERROR(__xludf.DUMMYFUNCTION("""COMPUTED_VALUE"""),1.0)</f>
        <v>1</v>
      </c>
      <c r="L14" s="1"/>
      <c r="M14" s="1"/>
    </row>
    <row r="15">
      <c r="A15" s="1" t="str">
        <f>IFERROR(__xludf.DUMMYFUNCTION("""COMPUTED_VALUE"""),"Tokyo")</f>
        <v>Tokyo</v>
      </c>
      <c r="B15" s="1" t="str">
        <f>IFERROR(__xludf.DUMMYFUNCTION("""COMPUTED_VALUE"""),"Barra do Corda")</f>
        <v>Barra do Corda</v>
      </c>
      <c r="C15" s="1" t="str">
        <f>IFERROR(__xludf.DUMMYFUNCTION("""COMPUTED_VALUE"""),"Produção")</f>
        <v>Produção</v>
      </c>
      <c r="D15" s="1" t="str">
        <f>IFERROR(__xludf.DUMMYFUNCTION("""COMPUTED_VALUE"""),"50% dos vistoriadores atingirem a meta de produção 
(fevereiro: 0 vistoriadores; março: 2 vistoriadores)")</f>
        <v>50% dos vistoriadores atingirem a meta de produção 
(fevereiro: 0 vistoriadores; março: 2 vistoriadores)</v>
      </c>
      <c r="E15" s="1" t="str">
        <f>IFERROR(__xludf.DUMMYFUNCTION("""COMPUTED_VALUE"""),"Leonardo Sousa")</f>
        <v>Leonardo Sousa</v>
      </c>
      <c r="F15" s="1"/>
      <c r="G15" s="2">
        <f>IFERROR(__xludf.DUMMYFUNCTION("""COMPUTED_VALUE"""),46084.0)</f>
        <v>46084</v>
      </c>
      <c r="H15" s="2">
        <f>IFERROR(__xludf.DUMMYFUNCTION("""COMPUTED_VALUE"""),46117.0)</f>
        <v>46117</v>
      </c>
      <c r="I15" s="1" t="str">
        <f>IFERROR(__xludf.DUMMYFUNCTION("""COMPUTED_VALUE"""),"EM ANDAMENTO")</f>
        <v>EM ANDAMENTO</v>
      </c>
      <c r="J15" s="1" t="str">
        <f>IFERROR(__xludf.DUMMYFUNCTION("""COMPUTED_VALUE"""),"MODERADO")</f>
        <v>MODERADO</v>
      </c>
      <c r="K15" s="3">
        <f>IFERROR(__xludf.DUMMYFUNCTION("""COMPUTED_VALUE"""),0.5)</f>
        <v>0.5</v>
      </c>
      <c r="L15" s="1"/>
      <c r="M15" s="1"/>
    </row>
    <row r="16">
      <c r="A16" s="1" t="str">
        <f>IFERROR(__xludf.DUMMYFUNCTION("""COMPUTED_VALUE"""),"Tokyo")</f>
        <v>Tokyo</v>
      </c>
      <c r="B16" s="1" t="str">
        <f>IFERROR(__xludf.DUMMYFUNCTION("""COMPUTED_VALUE"""),"Barra do Corda")</f>
        <v>Barra do Corda</v>
      </c>
      <c r="C16" s="1" t="str">
        <f>IFERROR(__xludf.DUMMYFUNCTION("""COMPUTED_VALUE"""),"Qualidade")</f>
        <v>Qualidade</v>
      </c>
      <c r="D16" s="1" t="str">
        <f>IFERROR(__xludf.DUMMYFUNCTION("""COMPUTED_VALUE"""),"Todos os vistoriadores atingirem a meta de qualidade
(fevereiro: 3 vistoriadores; março: 4 vistoriadores)")</f>
        <v>Todos os vistoriadores atingirem a meta de qualidade
(fevereiro: 3 vistoriadores; março: 4 vistoriadores)</v>
      </c>
      <c r="E16" s="1" t="str">
        <f>IFERROR(__xludf.DUMMYFUNCTION("""COMPUTED_VALUE"""),"Leonardo Sousa")</f>
        <v>Leonardo Sousa</v>
      </c>
      <c r="F16" s="1"/>
      <c r="G16" s="2">
        <f>IFERROR(__xludf.DUMMYFUNCTION("""COMPUTED_VALUE"""),46084.0)</f>
        <v>46084</v>
      </c>
      <c r="H16" s="2">
        <f>IFERROR(__xludf.DUMMYFUNCTION("""COMPUTED_VALUE"""),46117.0)</f>
        <v>46117</v>
      </c>
      <c r="I16" s="1" t="str">
        <f>IFERROR(__xludf.DUMMYFUNCTION("""COMPUTED_VALUE"""),"EM ANDAMENTO")</f>
        <v>EM ANDAMENTO</v>
      </c>
      <c r="J16" s="1" t="str">
        <f>IFERROR(__xludf.DUMMYFUNCTION("""COMPUTED_VALUE"""),"MODERADO")</f>
        <v>MODERADO</v>
      </c>
      <c r="K16" s="3">
        <f>IFERROR(__xludf.DUMMYFUNCTION("""COMPUTED_VALUE"""),0.75)</f>
        <v>0.75</v>
      </c>
      <c r="L16" s="1"/>
      <c r="M16" s="1"/>
    </row>
    <row r="17">
      <c r="A17" s="1" t="str">
        <f>IFERROR(__xludf.DUMMYFUNCTION("""COMPUTED_VALUE"""),"Tokyo")</f>
        <v>Tokyo</v>
      </c>
      <c r="B17" s="1" t="str">
        <f>IFERROR(__xludf.DUMMYFUNCTION("""COMPUTED_VALUE"""),"Chapadinha")</f>
        <v>Chapadinha</v>
      </c>
      <c r="C17" s="1" t="str">
        <f>IFERROR(__xludf.DUMMYFUNCTION("""COMPUTED_VALUE"""),"Produção")</f>
        <v>Produção</v>
      </c>
      <c r="D17" s="1" t="str">
        <f>IFERROR(__xludf.DUMMYFUNCTION("""COMPUTED_VALUE"""),"Atingir meta de produção: vistoriadores Marcos Henrique e Claudiomar
(fevereiro: só o Claudiomar tinha alcançado a meta)")</f>
        <v>Atingir meta de produção: vistoriadores Marcos Henrique e Claudiomar
(fevereiro: só o Claudiomar tinha alcançado a meta)</v>
      </c>
      <c r="E17" s="1" t="str">
        <f>IFERROR(__xludf.DUMMYFUNCTION("""COMPUTED_VALUE"""),"Leonardo Sousa")</f>
        <v>Leonardo Sousa</v>
      </c>
      <c r="F17" s="1"/>
      <c r="G17" s="2">
        <f>IFERROR(__xludf.DUMMYFUNCTION("""COMPUTED_VALUE"""),46084.0)</f>
        <v>46084</v>
      </c>
      <c r="H17" s="2">
        <f>IFERROR(__xludf.DUMMYFUNCTION("""COMPUTED_VALUE"""),46117.0)</f>
        <v>46117</v>
      </c>
      <c r="I17" s="1" t="str">
        <f>IFERROR(__xludf.DUMMYFUNCTION("""COMPUTED_VALUE"""),"EM ANDAMENTO")</f>
        <v>EM ANDAMENTO</v>
      </c>
      <c r="J17" s="1" t="str">
        <f>IFERROR(__xludf.DUMMYFUNCTION("""COMPUTED_VALUE"""),"MODERADO")</f>
        <v>MODERADO</v>
      </c>
      <c r="K17" s="3">
        <f>IFERROR(__xludf.DUMMYFUNCTION("""COMPUTED_VALUE"""),0.25)</f>
        <v>0.25</v>
      </c>
      <c r="L17" s="1"/>
      <c r="M17" s="1"/>
    </row>
    <row r="18">
      <c r="A18" s="1" t="str">
        <f>IFERROR(__xludf.DUMMYFUNCTION("""COMPUTED_VALUE"""),"Tokyo")</f>
        <v>Tokyo</v>
      </c>
      <c r="B18" s="1" t="str">
        <f>IFERROR(__xludf.DUMMYFUNCTION("""COMPUTED_VALUE"""),"Chapadinha")</f>
        <v>Chapadinha</v>
      </c>
      <c r="C18" s="1" t="str">
        <f>IFERROR(__xludf.DUMMYFUNCTION("""COMPUTED_VALUE"""),"Qualidade")</f>
        <v>Qualidade</v>
      </c>
      <c r="D18" s="1" t="str">
        <f>IFERROR(__xludf.DUMMYFUNCTION("""COMPUTED_VALUE"""),"Todos os vistoriadores atingirem a meta de qualidade
(fevereiro: 2 vistoriadores; março: 3 vistoriadores)")</f>
        <v>Todos os vistoriadores atingirem a meta de qualidade
(fevereiro: 2 vistoriadores; março: 3 vistoriadores)</v>
      </c>
      <c r="E18" s="1" t="str">
        <f>IFERROR(__xludf.DUMMYFUNCTION("""COMPUTED_VALUE"""),"Leonardo Sousa")</f>
        <v>Leonardo Sousa</v>
      </c>
      <c r="F18" s="1"/>
      <c r="G18" s="2">
        <f>IFERROR(__xludf.DUMMYFUNCTION("""COMPUTED_VALUE"""),46084.0)</f>
        <v>46084</v>
      </c>
      <c r="H18" s="2">
        <f>IFERROR(__xludf.DUMMYFUNCTION("""COMPUTED_VALUE"""),46117.0)</f>
        <v>46117</v>
      </c>
      <c r="I18" s="1" t="str">
        <f>IFERROR(__xludf.DUMMYFUNCTION("""COMPUTED_VALUE"""),"EM ANDAMENTO")</f>
        <v>EM ANDAMENTO</v>
      </c>
      <c r="J18" s="1" t="str">
        <f>IFERROR(__xludf.DUMMYFUNCTION("""COMPUTED_VALUE"""),"MODERADO")</f>
        <v>MODERADO</v>
      </c>
      <c r="K18" s="3">
        <f>IFERROR(__xludf.DUMMYFUNCTION("""COMPUTED_VALUE"""),1.0)</f>
        <v>1</v>
      </c>
      <c r="L18" s="1"/>
      <c r="M18" s="1"/>
    </row>
    <row r="19">
      <c r="A19" s="1" t="str">
        <f>IFERROR(__xludf.DUMMYFUNCTION("""COMPUTED_VALUE"""),"LOG")</f>
        <v>LOG</v>
      </c>
      <c r="B19" s="1" t="str">
        <f>IFERROR(__xludf.DUMMYFUNCTION("""COMPUTED_VALUE"""),"Timon")</f>
        <v>Timon</v>
      </c>
      <c r="C19" s="1" t="str">
        <f>IFERROR(__xludf.DUMMYFUNCTION("""COMPUTED_VALUE"""),"Produção")</f>
        <v>Produção</v>
      </c>
      <c r="D19" s="1" t="str">
        <f>IFERROR(__xludf.DUMMYFUNCTION("""COMPUTED_VALUE"""),"Fazer com que mais 6 vistoriadores alcancem a meta de produção 
(fevereiro: 2 vistoriadores; março: 8 vistoriadores)")</f>
        <v>Fazer com que mais 6 vistoriadores alcancem a meta de produção 
(fevereiro: 2 vistoriadores; março: 8 vistoriadores)</v>
      </c>
      <c r="E19" s="1" t="str">
        <f>IFERROR(__xludf.DUMMYFUNCTION("""COMPUTED_VALUE"""),"Leonardo Sousa")</f>
        <v>Leonardo Sousa</v>
      </c>
      <c r="F19" s="1"/>
      <c r="G19" s="2">
        <f>IFERROR(__xludf.DUMMYFUNCTION("""COMPUTED_VALUE"""),46084.0)</f>
        <v>46084</v>
      </c>
      <c r="H19" s="2">
        <f>IFERROR(__xludf.DUMMYFUNCTION("""COMPUTED_VALUE"""),46117.0)</f>
        <v>46117</v>
      </c>
      <c r="I19" s="1" t="str">
        <f>IFERROR(__xludf.DUMMYFUNCTION("""COMPUTED_VALUE"""),"EM ANDAMENTO")</f>
        <v>EM ANDAMENTO</v>
      </c>
      <c r="J19" s="1" t="str">
        <f>IFERROR(__xludf.DUMMYFUNCTION("""COMPUTED_VALUE"""),"MODERADO")</f>
        <v>MODERADO</v>
      </c>
      <c r="K19" s="3">
        <f>IFERROR(__xludf.DUMMYFUNCTION("""COMPUTED_VALUE"""),0.5)</f>
        <v>0.5</v>
      </c>
      <c r="L19" s="1"/>
      <c r="M19" s="1"/>
    </row>
    <row r="20">
      <c r="A20" s="1" t="str">
        <f>IFERROR(__xludf.DUMMYFUNCTION("""COMPUTED_VALUE"""),"LOG")</f>
        <v>LOG</v>
      </c>
      <c r="B20" s="1" t="str">
        <f>IFERROR(__xludf.DUMMYFUNCTION("""COMPUTED_VALUE"""),"São Luís")</f>
        <v>São Luís</v>
      </c>
      <c r="C20" s="1" t="str">
        <f>IFERROR(__xludf.DUMMYFUNCTION("""COMPUTED_VALUE"""),"Qualidade")</f>
        <v>Qualidade</v>
      </c>
      <c r="D20" s="1" t="str">
        <f>IFERROR(__xludf.DUMMYFUNCTION("""COMPUTED_VALUE"""),"Todos os vistoriadores atingirem a meta de qualidade
(fevereiro: 3 vistoriadores; março: 8 vistoriadores)")</f>
        <v>Todos os vistoriadores atingirem a meta de qualidade
(fevereiro: 3 vistoriadores; março: 8 vistoriadores)</v>
      </c>
      <c r="E20" s="1" t="str">
        <f>IFERROR(__xludf.DUMMYFUNCTION("""COMPUTED_VALUE"""),"Leonardo Sousa")</f>
        <v>Leonardo Sousa</v>
      </c>
      <c r="F20" s="1"/>
      <c r="G20" s="2">
        <f>IFERROR(__xludf.DUMMYFUNCTION("""COMPUTED_VALUE"""),46084.0)</f>
        <v>46084</v>
      </c>
      <c r="H20" s="2">
        <f>IFERROR(__xludf.DUMMYFUNCTION("""COMPUTED_VALUE"""),46117.0)</f>
        <v>46117</v>
      </c>
      <c r="I20" s="1" t="str">
        <f>IFERROR(__xludf.DUMMYFUNCTION("""COMPUTED_VALUE"""),"EM ANDAMENTO")</f>
        <v>EM ANDAMENTO</v>
      </c>
      <c r="J20" s="1" t="str">
        <f>IFERROR(__xludf.DUMMYFUNCTION("""COMPUTED_VALUE"""),"MODERADO")</f>
        <v>MODERADO</v>
      </c>
      <c r="K20" s="3">
        <f>IFERROR(__xludf.DUMMYFUNCTION("""COMPUTED_VALUE"""),0.75)</f>
        <v>0.75</v>
      </c>
      <c r="L20" s="1"/>
      <c r="M20" s="1"/>
    </row>
    <row r="21">
      <c r="A21" s="1" t="str">
        <f>IFERROR(__xludf.DUMMYFUNCTION("""COMPUTED_VALUE"""),"LOG")</f>
        <v>LOG</v>
      </c>
      <c r="B21" s="1" t="str">
        <f>IFERROR(__xludf.DUMMYFUNCTION("""COMPUTED_VALUE"""),"São Luís")</f>
        <v>São Luís</v>
      </c>
      <c r="C21" s="1" t="str">
        <f>IFERROR(__xludf.DUMMYFUNCTION("""COMPUTED_VALUE"""),"Produção")</f>
        <v>Produção</v>
      </c>
      <c r="D21" s="1" t="str">
        <f>IFERROR(__xludf.DUMMYFUNCTION("""COMPUTED_VALUE"""),"Fazer com que mais 4 vistoriadores alcancem a meta de produção 
(fevereiro: 1 vistoriador; março: 5 vistoriadores)")</f>
        <v>Fazer com que mais 4 vistoriadores alcancem a meta de produção 
(fevereiro: 1 vistoriador; março: 5 vistoriadores)</v>
      </c>
      <c r="E21" s="1" t="str">
        <f>IFERROR(__xludf.DUMMYFUNCTION("""COMPUTED_VALUE"""),"Leonardo Sousa")</f>
        <v>Leonardo Sousa</v>
      </c>
      <c r="F21" s="1"/>
      <c r="G21" s="2">
        <f>IFERROR(__xludf.DUMMYFUNCTION("""COMPUTED_VALUE"""),46084.0)</f>
        <v>46084</v>
      </c>
      <c r="H21" s="2">
        <f>IFERROR(__xludf.DUMMYFUNCTION("""COMPUTED_VALUE"""),46117.0)</f>
        <v>46117</v>
      </c>
      <c r="I21" s="1" t="str">
        <f>IFERROR(__xludf.DUMMYFUNCTION("""COMPUTED_VALUE"""),"EM ANDAMENTO")</f>
        <v>EM ANDAMENTO</v>
      </c>
      <c r="J21" s="1" t="str">
        <f>IFERROR(__xludf.DUMMYFUNCTION("""COMPUTED_VALUE"""),"BAIXA")</f>
        <v>BAIXA</v>
      </c>
      <c r="K21" s="3">
        <f>IFERROR(__xludf.DUMMYFUNCTION("""COMPUTED_VALUE"""),0.25)</f>
        <v>0.25</v>
      </c>
      <c r="L21" s="1"/>
      <c r="M21" s="1"/>
    </row>
    <row r="22">
      <c r="A22" s="1" t="str">
        <f>IFERROR(__xludf.DUMMYFUNCTION("""COMPUTED_VALUE"""),"LOG")</f>
        <v>LOG</v>
      </c>
      <c r="B22" s="1" t="str">
        <f>IFERROR(__xludf.DUMMYFUNCTION("""COMPUTED_VALUE"""),"Carolina")</f>
        <v>Carolina</v>
      </c>
      <c r="C22" s="1" t="str">
        <f>IFERROR(__xludf.DUMMYFUNCTION("""COMPUTED_VALUE"""),"Qualidade")</f>
        <v>Qualidade</v>
      </c>
      <c r="D22" s="1" t="str">
        <f>IFERROR(__xludf.DUMMYFUNCTION("""COMPUTED_VALUE"""),"Fazer com que mais 2 vistoriadores alcancem a meta de qualidade
(fevereiro: 3 vistoriadores; março: 5 vistoriadores)")</f>
        <v>Fazer com que mais 2 vistoriadores alcancem a meta de qualidade
(fevereiro: 3 vistoriadores; março: 5 vistoriadores)</v>
      </c>
      <c r="E22" s="1" t="str">
        <f>IFERROR(__xludf.DUMMYFUNCTION("""COMPUTED_VALUE"""),"Leonardo Sousa")</f>
        <v>Leonardo Sousa</v>
      </c>
      <c r="F22" s="1"/>
      <c r="G22" s="2">
        <f>IFERROR(__xludf.DUMMYFUNCTION("""COMPUTED_VALUE"""),46084.0)</f>
        <v>46084</v>
      </c>
      <c r="H22" s="2">
        <f>IFERROR(__xludf.DUMMYFUNCTION("""COMPUTED_VALUE"""),46117.0)</f>
        <v>46117</v>
      </c>
      <c r="I22" s="1" t="str">
        <f>IFERROR(__xludf.DUMMYFUNCTION("""COMPUTED_VALUE"""),"EM ANDAMENTO")</f>
        <v>EM ANDAMENTO</v>
      </c>
      <c r="J22" s="1" t="str">
        <f>IFERROR(__xludf.DUMMYFUNCTION("""COMPUTED_VALUE"""),"BAIXA")</f>
        <v>BAIXA</v>
      </c>
      <c r="K22" s="3">
        <f>IFERROR(__xludf.DUMMYFUNCTION("""COMPUTED_VALUE"""),1.0)</f>
        <v>1</v>
      </c>
      <c r="L22" s="1"/>
      <c r="M22" s="1"/>
    </row>
    <row r="23">
      <c r="A23" s="1" t="str">
        <f>IFERROR(__xludf.DUMMYFUNCTION("""COMPUTED_VALUE"""),"LOG")</f>
        <v>LOG</v>
      </c>
      <c r="B23" s="1" t="str">
        <f>IFERROR(__xludf.DUMMYFUNCTION("""COMPUTED_VALUE"""),"Açailândia")</f>
        <v>Açailândia</v>
      </c>
      <c r="C23" s="1" t="str">
        <f>IFERROR(__xludf.DUMMYFUNCTION("""COMPUTED_VALUE"""),"Produção")</f>
        <v>Produção</v>
      </c>
      <c r="D23" s="1" t="str">
        <f>IFERROR(__xludf.DUMMYFUNCTION("""COMPUTED_VALUE"""),"Todos os vistoriadores atingirem a meta de produção
(fevereiro: 2 vistoriadores; março: 3 vistoriadores)")</f>
        <v>Todos os vistoriadores atingirem a meta de produção
(fevereiro: 2 vistoriadores; março: 3 vistoriadores)</v>
      </c>
      <c r="E23" s="1" t="str">
        <f>IFERROR(__xludf.DUMMYFUNCTION("""COMPUTED_VALUE"""),"Leonardo Sousa")</f>
        <v>Leonardo Sousa</v>
      </c>
      <c r="F23" s="1"/>
      <c r="G23" s="2">
        <f>IFERROR(__xludf.DUMMYFUNCTION("""COMPUTED_VALUE"""),46084.0)</f>
        <v>46084</v>
      </c>
      <c r="H23" s="2">
        <f>IFERROR(__xludf.DUMMYFUNCTION("""COMPUTED_VALUE"""),46117.0)</f>
        <v>46117</v>
      </c>
      <c r="I23" s="1" t="str">
        <f>IFERROR(__xludf.DUMMYFUNCTION("""COMPUTED_VALUE"""),"EM ANDAMENTO")</f>
        <v>EM ANDAMENTO</v>
      </c>
      <c r="J23" s="1" t="str">
        <f>IFERROR(__xludf.DUMMYFUNCTION("""COMPUTED_VALUE"""),"BAIXA")</f>
        <v>BAIXA</v>
      </c>
      <c r="K23" s="3">
        <f>IFERROR(__xludf.DUMMYFUNCTION("""COMPUTED_VALUE"""),0.5)</f>
        <v>0.5</v>
      </c>
      <c r="L23" s="1"/>
      <c r="M23" s="1"/>
    </row>
    <row r="24">
      <c r="A24" s="1" t="str">
        <f>IFERROR(__xludf.DUMMYFUNCTION("""COMPUTED_VALUE"""),"LOG")</f>
        <v>LOG</v>
      </c>
      <c r="B24" s="1" t="str">
        <f>IFERROR(__xludf.DUMMYFUNCTION("""COMPUTED_VALUE"""),"Açailândia")</f>
        <v>Açailândia</v>
      </c>
      <c r="C24" s="1" t="str">
        <f>IFERROR(__xludf.DUMMYFUNCTION("""COMPUTED_VALUE"""),"Qualidade")</f>
        <v>Qualidade</v>
      </c>
      <c r="D24" s="1" t="str">
        <f>IFERROR(__xludf.DUMMYFUNCTION("""COMPUTED_VALUE"""),"Todos os vistoriadores atingirem a meta de qualidade
(fevereiro: 2 vistoriadores; março: 3 vistoriadores)")</f>
        <v>Todos os vistoriadores atingirem a meta de qualidade
(fevereiro: 2 vistoriadores; março: 3 vistoriadores)</v>
      </c>
      <c r="E24" s="1" t="str">
        <f>IFERROR(__xludf.DUMMYFUNCTION("""COMPUTED_VALUE"""),"Leonardo Sousa")</f>
        <v>Leonardo Sousa</v>
      </c>
      <c r="F24" s="1"/>
      <c r="G24" s="2">
        <f>IFERROR(__xludf.DUMMYFUNCTION("""COMPUTED_VALUE"""),46084.0)</f>
        <v>46084</v>
      </c>
      <c r="H24" s="2">
        <f>IFERROR(__xludf.DUMMYFUNCTION("""COMPUTED_VALUE"""),46117.0)</f>
        <v>46117</v>
      </c>
      <c r="I24" s="1" t="str">
        <f>IFERROR(__xludf.DUMMYFUNCTION("""COMPUTED_VALUE"""),"EM ANDAMENTO")</f>
        <v>EM ANDAMENTO</v>
      </c>
      <c r="J24" s="1" t="str">
        <f>IFERROR(__xludf.DUMMYFUNCTION("""COMPUTED_VALUE"""),"BAIXA")</f>
        <v>BAIXA</v>
      </c>
      <c r="K24" s="3">
        <f>IFERROR(__xludf.DUMMYFUNCTION("""COMPUTED_VALUE"""),0.75)</f>
        <v>0.75</v>
      </c>
      <c r="L24" s="1"/>
      <c r="M24" s="1"/>
    </row>
    <row r="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</row>
    <row r="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</row>
    <row r="27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</row>
    <row r="28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</row>
    <row r="29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</row>
    <row r="3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</row>
    <row r="3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</row>
    <row r="3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</row>
    <row r="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tr">
        <f t="array" ref="A1:L999">BASE_BRUTA!A:L</f>
        <v>EMPRESA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4" t="s">
        <v>11</v>
      </c>
      <c r="N1" s="4" t="s">
        <v>12</v>
      </c>
      <c r="O1" s="4" t="s">
        <v>13</v>
      </c>
      <c r="P1" s="4" t="s">
        <v>14</v>
      </c>
      <c r="Q1" s="4" t="s">
        <v>15</v>
      </c>
      <c r="R1" s="4" t="s">
        <v>16</v>
      </c>
    </row>
    <row r="2">
      <c r="A2" s="1" t="s">
        <v>17</v>
      </c>
      <c r="B2" s="1" t="s">
        <v>18</v>
      </c>
      <c r="C2" s="1" t="s">
        <v>19</v>
      </c>
      <c r="D2" s="1" t="s">
        <v>20</v>
      </c>
      <c r="E2" s="1" t="s">
        <v>21</v>
      </c>
      <c r="F2" s="1" t="s">
        <v>22</v>
      </c>
      <c r="G2" s="2">
        <v>46057.0</v>
      </c>
      <c r="H2" s="2">
        <v>46112.0</v>
      </c>
      <c r="I2" s="1" t="s">
        <v>23</v>
      </c>
      <c r="J2" s="1" t="s">
        <v>24</v>
      </c>
      <c r="K2" s="3">
        <v>1.0</v>
      </c>
      <c r="L2" s="1"/>
      <c r="M2" s="1">
        <f>IF(H3="","",H3-TODAY())</f>
        <v>-19</v>
      </c>
      <c r="N2" s="1">
        <f>IF(H3="","",IF(AND(H1&lt;&gt;"Concluído",I3&lt;TODAY()),TODAY()-H3,0))</f>
        <v>0</v>
      </c>
      <c r="O2" s="1" t="str">
        <f>IF(H3="","",IF(I3="Concluído","Concluído",IF(H3&lt;TODAY(),"Atrasado",IF(H3-TODAY()&lt;=7,"Vence em até 7 dias","No prazo"))))</f>
        <v>Atrasado</v>
      </c>
      <c r="P2" s="1" t="str">
        <f>IF(H3="","",TEXT(H3,"mmm"))</f>
        <v>mar.</v>
      </c>
      <c r="Q2" s="1" t="str">
        <f>IF(L3="","",TODAY()-L3)</f>
        <v/>
      </c>
      <c r="R2" s="1" t="str">
        <f>IF(L3="","Sem atualização",IF(TODAY()-L3&gt;7,"Mais de 7 dias sem atualizar","Atualizado"))</f>
        <v>Sem atualização</v>
      </c>
    </row>
    <row r="3">
      <c r="A3" s="1" t="s">
        <v>17</v>
      </c>
      <c r="B3" s="1" t="s">
        <v>25</v>
      </c>
      <c r="C3" s="1" t="s">
        <v>26</v>
      </c>
      <c r="D3" s="1" t="s">
        <v>27</v>
      </c>
      <c r="E3" s="1" t="s">
        <v>28</v>
      </c>
      <c r="F3" s="1" t="s">
        <v>29</v>
      </c>
      <c r="G3" s="2">
        <v>46057.0</v>
      </c>
      <c r="H3" s="2">
        <v>46085.0</v>
      </c>
      <c r="I3" s="1" t="s">
        <v>30</v>
      </c>
      <c r="J3" s="1" t="s">
        <v>24</v>
      </c>
      <c r="K3" s="3">
        <v>0.5</v>
      </c>
      <c r="L3" s="1"/>
    </row>
    <row r="4">
      <c r="A4" s="1" t="s">
        <v>17</v>
      </c>
      <c r="B4" s="1" t="s">
        <v>31</v>
      </c>
      <c r="C4" s="1" t="s">
        <v>32</v>
      </c>
      <c r="D4" s="1" t="s">
        <v>33</v>
      </c>
      <c r="E4" s="1" t="s">
        <v>28</v>
      </c>
      <c r="F4" s="1" t="s">
        <v>29</v>
      </c>
      <c r="G4" s="2">
        <v>46057.0</v>
      </c>
      <c r="H4" s="2">
        <v>46085.0</v>
      </c>
      <c r="I4" s="1" t="s">
        <v>30</v>
      </c>
      <c r="J4" s="1" t="s">
        <v>24</v>
      </c>
      <c r="K4" s="3">
        <v>0.75</v>
      </c>
      <c r="L4" s="1"/>
    </row>
    <row r="5">
      <c r="A5" s="1" t="s">
        <v>17</v>
      </c>
      <c r="B5" s="1" t="s">
        <v>34</v>
      </c>
      <c r="C5" s="1" t="s">
        <v>26</v>
      </c>
      <c r="D5" s="1" t="s">
        <v>35</v>
      </c>
      <c r="E5" s="1" t="s">
        <v>28</v>
      </c>
      <c r="F5" s="1" t="s">
        <v>29</v>
      </c>
      <c r="G5" s="2">
        <v>46057.0</v>
      </c>
      <c r="H5" s="2">
        <v>46085.0</v>
      </c>
      <c r="I5" s="1" t="s">
        <v>30</v>
      </c>
      <c r="J5" s="1" t="s">
        <v>24</v>
      </c>
      <c r="K5" s="3">
        <v>0.25</v>
      </c>
      <c r="L5" s="1"/>
    </row>
    <row r="6">
      <c r="A6" s="1" t="s">
        <v>17</v>
      </c>
      <c r="B6" s="1" t="s">
        <v>34</v>
      </c>
      <c r="C6" s="1" t="s">
        <v>32</v>
      </c>
      <c r="D6" s="1" t="s">
        <v>36</v>
      </c>
      <c r="E6" s="1" t="s">
        <v>28</v>
      </c>
      <c r="F6" s="1" t="s">
        <v>29</v>
      </c>
      <c r="G6" s="2">
        <v>46057.0</v>
      </c>
      <c r="H6" s="2">
        <v>46085.0</v>
      </c>
      <c r="I6" s="1" t="s">
        <v>30</v>
      </c>
      <c r="J6" s="1" t="s">
        <v>24</v>
      </c>
      <c r="K6" s="3">
        <v>1.0</v>
      </c>
      <c r="L6" s="1"/>
    </row>
    <row r="7">
      <c r="A7" s="1" t="s">
        <v>17</v>
      </c>
      <c r="B7" s="1" t="s">
        <v>37</v>
      </c>
      <c r="C7" s="1" t="s">
        <v>19</v>
      </c>
      <c r="D7" s="1" t="s">
        <v>38</v>
      </c>
      <c r="E7" s="1" t="s">
        <v>28</v>
      </c>
      <c r="F7" s="1" t="s">
        <v>21</v>
      </c>
      <c r="G7" s="2">
        <v>46057.0</v>
      </c>
      <c r="H7" s="2">
        <v>46085.0</v>
      </c>
      <c r="I7" s="1" t="s">
        <v>30</v>
      </c>
      <c r="J7" s="1" t="s">
        <v>24</v>
      </c>
      <c r="K7" s="3">
        <v>0.5</v>
      </c>
      <c r="L7" s="1"/>
    </row>
    <row r="8">
      <c r="A8" s="1" t="s">
        <v>17</v>
      </c>
      <c r="B8" s="1" t="s">
        <v>37</v>
      </c>
      <c r="C8" s="1" t="s">
        <v>32</v>
      </c>
      <c r="D8" s="1" t="s">
        <v>39</v>
      </c>
      <c r="E8" s="1" t="s">
        <v>28</v>
      </c>
      <c r="F8" s="1" t="s">
        <v>29</v>
      </c>
      <c r="G8" s="2">
        <v>46057.0</v>
      </c>
      <c r="H8" s="2">
        <v>46085.0</v>
      </c>
      <c r="I8" s="1" t="s">
        <v>30</v>
      </c>
      <c r="J8" s="1" t="s">
        <v>24</v>
      </c>
      <c r="K8" s="3">
        <v>0.75</v>
      </c>
      <c r="L8" s="1"/>
    </row>
    <row r="9">
      <c r="A9" s="1" t="s">
        <v>17</v>
      </c>
      <c r="B9" s="1" t="s">
        <v>40</v>
      </c>
      <c r="C9" s="1" t="s">
        <v>19</v>
      </c>
      <c r="D9" s="1" t="s">
        <v>41</v>
      </c>
      <c r="E9" s="1" t="s">
        <v>21</v>
      </c>
      <c r="F9" s="1" t="s">
        <v>42</v>
      </c>
      <c r="G9" s="2">
        <v>46057.0</v>
      </c>
      <c r="H9" s="2">
        <v>46085.0</v>
      </c>
      <c r="I9" s="1" t="s">
        <v>30</v>
      </c>
      <c r="J9" s="1" t="s">
        <v>24</v>
      </c>
      <c r="K9" s="3">
        <v>0.25</v>
      </c>
      <c r="L9" s="1"/>
    </row>
    <row r="10">
      <c r="A10" s="1" t="s">
        <v>17</v>
      </c>
      <c r="B10" s="1" t="s">
        <v>40</v>
      </c>
      <c r="C10" s="1" t="s">
        <v>26</v>
      </c>
      <c r="D10" s="1" t="s">
        <v>43</v>
      </c>
      <c r="E10" s="1" t="s">
        <v>28</v>
      </c>
      <c r="F10" s="1" t="s">
        <v>29</v>
      </c>
      <c r="G10" s="2">
        <v>46057.0</v>
      </c>
      <c r="H10" s="2">
        <v>46085.0</v>
      </c>
      <c r="I10" s="1" t="s">
        <v>30</v>
      </c>
      <c r="J10" s="1" t="s">
        <v>24</v>
      </c>
      <c r="K10" s="3">
        <v>1.0</v>
      </c>
      <c r="L10" s="1"/>
    </row>
    <row r="11">
      <c r="A11" s="1" t="s">
        <v>17</v>
      </c>
      <c r="B11" s="1" t="s">
        <v>40</v>
      </c>
      <c r="C11" s="1" t="s">
        <v>32</v>
      </c>
      <c r="D11" s="1" t="s">
        <v>44</v>
      </c>
      <c r="E11" s="1" t="s">
        <v>28</v>
      </c>
      <c r="F11" s="1" t="s">
        <v>29</v>
      </c>
      <c r="G11" s="2">
        <v>46057.0</v>
      </c>
      <c r="H11" s="2">
        <v>46085.0</v>
      </c>
      <c r="I11" s="1" t="s">
        <v>30</v>
      </c>
      <c r="J11" s="1" t="s">
        <v>24</v>
      </c>
      <c r="K11" s="3">
        <v>0.5</v>
      </c>
      <c r="L11" s="1"/>
    </row>
    <row r="12">
      <c r="A12" s="1" t="s">
        <v>17</v>
      </c>
      <c r="B12" s="1" t="s">
        <v>25</v>
      </c>
      <c r="C12" s="1" t="s">
        <v>45</v>
      </c>
      <c r="D12" s="1" t="s">
        <v>46</v>
      </c>
      <c r="E12" s="1" t="s">
        <v>28</v>
      </c>
      <c r="F12" s="1" t="s">
        <v>42</v>
      </c>
      <c r="G12" s="2">
        <v>46057.0</v>
      </c>
      <c r="H12" s="2">
        <v>46085.0</v>
      </c>
      <c r="I12" s="1" t="s">
        <v>30</v>
      </c>
      <c r="J12" s="1" t="s">
        <v>47</v>
      </c>
      <c r="K12" s="3">
        <v>0.75</v>
      </c>
      <c r="L12" s="1"/>
    </row>
    <row r="13">
      <c r="A13" s="1" t="s">
        <v>17</v>
      </c>
      <c r="B13" s="1" t="s">
        <v>40</v>
      </c>
      <c r="C13" s="1" t="s">
        <v>48</v>
      </c>
      <c r="D13" s="1" t="s">
        <v>49</v>
      </c>
      <c r="E13" s="1" t="s">
        <v>28</v>
      </c>
      <c r="F13" s="1" t="s">
        <v>50</v>
      </c>
      <c r="G13" s="2">
        <v>46057.0</v>
      </c>
      <c r="H13" s="2">
        <v>46233.0</v>
      </c>
      <c r="I13" s="1" t="s">
        <v>23</v>
      </c>
      <c r="J13" s="1" t="s">
        <v>47</v>
      </c>
      <c r="K13" s="3">
        <v>0.25</v>
      </c>
      <c r="L13" s="1"/>
    </row>
    <row r="14">
      <c r="A14" s="1" t="s">
        <v>17</v>
      </c>
      <c r="B14" s="1" t="s">
        <v>34</v>
      </c>
      <c r="C14" s="1" t="s">
        <v>48</v>
      </c>
      <c r="D14" s="1" t="s">
        <v>49</v>
      </c>
      <c r="E14" s="1" t="s">
        <v>28</v>
      </c>
      <c r="F14" s="1" t="s">
        <v>50</v>
      </c>
      <c r="G14" s="2">
        <v>46057.0</v>
      </c>
      <c r="H14" s="2">
        <v>46233.0</v>
      </c>
      <c r="I14" s="1" t="s">
        <v>23</v>
      </c>
      <c r="J14" s="1" t="s">
        <v>47</v>
      </c>
      <c r="K14" s="3">
        <v>1.0</v>
      </c>
      <c r="L14" s="1"/>
    </row>
    <row r="15">
      <c r="A15" s="1" t="s">
        <v>17</v>
      </c>
      <c r="B15" s="1" t="s">
        <v>25</v>
      </c>
      <c r="C15" s="1" t="s">
        <v>26</v>
      </c>
      <c r="D15" s="1" t="s">
        <v>51</v>
      </c>
      <c r="E15" s="1" t="s">
        <v>28</v>
      </c>
      <c r="F15" s="1"/>
      <c r="G15" s="2">
        <v>46084.0</v>
      </c>
      <c r="H15" s="2">
        <v>46117.0</v>
      </c>
      <c r="I15" s="1" t="s">
        <v>23</v>
      </c>
      <c r="J15" s="1" t="s">
        <v>47</v>
      </c>
      <c r="K15" s="3">
        <v>0.5</v>
      </c>
      <c r="L15" s="1"/>
    </row>
    <row r="16">
      <c r="A16" s="1" t="s">
        <v>17</v>
      </c>
      <c r="B16" s="1" t="s">
        <v>25</v>
      </c>
      <c r="C16" s="1" t="s">
        <v>32</v>
      </c>
      <c r="D16" s="1" t="s">
        <v>52</v>
      </c>
      <c r="E16" s="1" t="s">
        <v>28</v>
      </c>
      <c r="F16" s="1"/>
      <c r="G16" s="2">
        <v>46084.0</v>
      </c>
      <c r="H16" s="2">
        <v>46117.0</v>
      </c>
      <c r="I16" s="1" t="s">
        <v>23</v>
      </c>
      <c r="J16" s="1" t="s">
        <v>47</v>
      </c>
      <c r="K16" s="3">
        <v>0.75</v>
      </c>
      <c r="L16" s="1"/>
    </row>
    <row r="17">
      <c r="A17" s="1" t="s">
        <v>17</v>
      </c>
      <c r="B17" s="1" t="s">
        <v>31</v>
      </c>
      <c r="C17" s="1" t="s">
        <v>26</v>
      </c>
      <c r="D17" s="1" t="s">
        <v>53</v>
      </c>
      <c r="E17" s="1" t="s">
        <v>28</v>
      </c>
      <c r="F17" s="1"/>
      <c r="G17" s="2">
        <v>46084.0</v>
      </c>
      <c r="H17" s="2">
        <v>46117.0</v>
      </c>
      <c r="I17" s="1" t="s">
        <v>23</v>
      </c>
      <c r="J17" s="1" t="s">
        <v>47</v>
      </c>
      <c r="K17" s="3">
        <v>0.25</v>
      </c>
      <c r="L17" s="1"/>
    </row>
    <row r="18">
      <c r="A18" s="1" t="s">
        <v>17</v>
      </c>
      <c r="B18" s="1" t="s">
        <v>31</v>
      </c>
      <c r="C18" s="1" t="s">
        <v>32</v>
      </c>
      <c r="D18" s="1" t="s">
        <v>54</v>
      </c>
      <c r="E18" s="1" t="s">
        <v>28</v>
      </c>
      <c r="F18" s="1"/>
      <c r="G18" s="2">
        <v>46084.0</v>
      </c>
      <c r="H18" s="2">
        <v>46117.0</v>
      </c>
      <c r="I18" s="1" t="s">
        <v>23</v>
      </c>
      <c r="J18" s="1" t="s">
        <v>47</v>
      </c>
      <c r="K18" s="3">
        <v>1.0</v>
      </c>
      <c r="L18" s="1"/>
    </row>
    <row r="19">
      <c r="A19" s="1" t="s">
        <v>55</v>
      </c>
      <c r="B19" s="1" t="s">
        <v>56</v>
      </c>
      <c r="C19" s="1" t="s">
        <v>26</v>
      </c>
      <c r="D19" s="1" t="s">
        <v>57</v>
      </c>
      <c r="E19" s="1" t="s">
        <v>28</v>
      </c>
      <c r="F19" s="1"/>
      <c r="G19" s="2">
        <v>46084.0</v>
      </c>
      <c r="H19" s="2">
        <v>46117.0</v>
      </c>
      <c r="I19" s="1" t="s">
        <v>23</v>
      </c>
      <c r="J19" s="1" t="s">
        <v>47</v>
      </c>
      <c r="K19" s="3">
        <v>0.5</v>
      </c>
      <c r="L19" s="1"/>
    </row>
    <row r="20">
      <c r="A20" s="1" t="s">
        <v>55</v>
      </c>
      <c r="B20" s="1" t="s">
        <v>58</v>
      </c>
      <c r="C20" s="1" t="s">
        <v>32</v>
      </c>
      <c r="D20" s="1" t="s">
        <v>59</v>
      </c>
      <c r="E20" s="1" t="s">
        <v>28</v>
      </c>
      <c r="F20" s="1"/>
      <c r="G20" s="2">
        <v>46084.0</v>
      </c>
      <c r="H20" s="2">
        <v>46117.0</v>
      </c>
      <c r="I20" s="1" t="s">
        <v>23</v>
      </c>
      <c r="J20" s="1" t="s">
        <v>47</v>
      </c>
      <c r="K20" s="3">
        <v>0.75</v>
      </c>
      <c r="L20" s="1"/>
    </row>
    <row r="21">
      <c r="A21" s="1" t="s">
        <v>55</v>
      </c>
      <c r="B21" s="1" t="s">
        <v>58</v>
      </c>
      <c r="C21" s="1" t="s">
        <v>26</v>
      </c>
      <c r="D21" s="1" t="s">
        <v>60</v>
      </c>
      <c r="E21" s="1" t="s">
        <v>28</v>
      </c>
      <c r="F21" s="1"/>
      <c r="G21" s="2">
        <v>46084.0</v>
      </c>
      <c r="H21" s="2">
        <v>46117.0</v>
      </c>
      <c r="I21" s="1" t="s">
        <v>23</v>
      </c>
      <c r="J21" s="1" t="s">
        <v>61</v>
      </c>
      <c r="K21" s="3">
        <v>0.25</v>
      </c>
      <c r="L21" s="1"/>
    </row>
    <row r="22">
      <c r="A22" s="1" t="s">
        <v>55</v>
      </c>
      <c r="B22" s="1" t="s">
        <v>62</v>
      </c>
      <c r="C22" s="1" t="s">
        <v>32</v>
      </c>
      <c r="D22" s="1" t="s">
        <v>63</v>
      </c>
      <c r="E22" s="1" t="s">
        <v>28</v>
      </c>
      <c r="F22" s="1"/>
      <c r="G22" s="2">
        <v>46084.0</v>
      </c>
      <c r="H22" s="2">
        <v>46117.0</v>
      </c>
      <c r="I22" s="1" t="s">
        <v>23</v>
      </c>
      <c r="J22" s="1" t="s">
        <v>61</v>
      </c>
      <c r="K22" s="3">
        <v>1.0</v>
      </c>
      <c r="L22" s="1"/>
    </row>
    <row r="23">
      <c r="A23" s="1" t="s">
        <v>55</v>
      </c>
      <c r="B23" s="1" t="s">
        <v>64</v>
      </c>
      <c r="C23" s="1" t="s">
        <v>26</v>
      </c>
      <c r="D23" s="1" t="s">
        <v>65</v>
      </c>
      <c r="E23" s="1" t="s">
        <v>28</v>
      </c>
      <c r="F23" s="1"/>
      <c r="G23" s="2">
        <v>46084.0</v>
      </c>
      <c r="H23" s="2">
        <v>46117.0</v>
      </c>
      <c r="I23" s="1" t="s">
        <v>23</v>
      </c>
      <c r="J23" s="1" t="s">
        <v>61</v>
      </c>
      <c r="K23" s="3">
        <v>0.5</v>
      </c>
      <c r="L23" s="1"/>
    </row>
    <row r="24">
      <c r="A24" s="1" t="s">
        <v>55</v>
      </c>
      <c r="B24" s="1" t="s">
        <v>64</v>
      </c>
      <c r="C24" s="1" t="s">
        <v>32</v>
      </c>
      <c r="D24" s="1" t="s">
        <v>54</v>
      </c>
      <c r="E24" s="1" t="s">
        <v>28</v>
      </c>
      <c r="F24" s="1"/>
      <c r="G24" s="2">
        <v>46084.0</v>
      </c>
      <c r="H24" s="2">
        <v>46117.0</v>
      </c>
      <c r="I24" s="1" t="s">
        <v>23</v>
      </c>
      <c r="J24" s="1" t="s">
        <v>61</v>
      </c>
      <c r="K24" s="3">
        <v>0.75</v>
      </c>
      <c r="L24" s="1"/>
    </row>
    <row r="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</row>
    <row r="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</row>
    <row r="27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</row>
    <row r="28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</row>
    <row r="29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</row>
    <row r="3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</row>
    <row r="3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</row>
    <row r="3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</row>
    <row r="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</row>
  </sheetData>
  <drawing r:id="rId1"/>
</worksheet>
</file>